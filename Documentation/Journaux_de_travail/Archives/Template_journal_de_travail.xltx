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P:\4ème année\TPI\Journal_de_travail\"/>
    </mc:Choice>
  </mc:AlternateContent>
  <bookViews>
    <workbookView xWindow="0" yWindow="0" windowWidth="14925" windowHeight="6825"/>
  </bookViews>
  <sheets>
    <sheet name="Résumé" sheetId="2" r:id="rId1"/>
    <sheet name="Mardi" sheetId="3" r:id="rId2"/>
    <sheet name="Mercredi" sheetId="7" r:id="rId3"/>
    <sheet name="Jeudi" sheetId="5" r:id="rId4"/>
    <sheet name="Vendredi" sheetId="6" r:id="rId5"/>
  </sheets>
  <calcPr calcId="162913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7" l="1"/>
  <c r="D25" i="7"/>
  <c r="D26" i="7"/>
  <c r="D27" i="7"/>
  <c r="D28" i="7"/>
  <c r="D29" i="7"/>
  <c r="D30" i="7"/>
  <c r="D31" i="7"/>
  <c r="D32" i="7"/>
  <c r="D34" i="7"/>
  <c r="D24" i="6"/>
  <c r="D25" i="6"/>
  <c r="D26" i="6"/>
  <c r="D27" i="6"/>
  <c r="D28" i="6"/>
  <c r="D29" i="6"/>
  <c r="D30" i="6"/>
  <c r="D31" i="6"/>
  <c r="D32" i="6"/>
  <c r="D34" i="6"/>
  <c r="D24" i="5"/>
  <c r="D25" i="5"/>
  <c r="D26" i="5"/>
  <c r="D27" i="5"/>
  <c r="D28" i="5"/>
  <c r="D29" i="5"/>
  <c r="D30" i="5"/>
  <c r="D31" i="5"/>
  <c r="D32" i="5"/>
  <c r="D34" i="5"/>
  <c r="D24" i="3"/>
  <c r="D25" i="3"/>
  <c r="D26" i="3"/>
  <c r="D27" i="3"/>
  <c r="D28" i="3"/>
  <c r="D29" i="3"/>
  <c r="D30" i="3"/>
  <c r="D31" i="3"/>
  <c r="D32" i="3"/>
  <c r="D34" i="3"/>
  <c r="C22" i="2"/>
  <c r="C23" i="2"/>
  <c r="C24" i="2"/>
  <c r="C25" i="2"/>
  <c r="C26" i="2"/>
  <c r="C27" i="2"/>
  <c r="C28" i="2"/>
  <c r="C29" i="2"/>
  <c r="C30" i="2"/>
  <c r="C32" i="2"/>
</calcChain>
</file>

<file path=xl/sharedStrings.xml><?xml version="1.0" encoding="utf-8"?>
<sst xmlns="http://schemas.openxmlformats.org/spreadsheetml/2006/main" count="77" uniqueCount="20">
  <si>
    <t>Type d'activité</t>
  </si>
  <si>
    <t>Description de l'activité</t>
  </si>
  <si>
    <t>Temps nécessaire</t>
  </si>
  <si>
    <t>Autres</t>
  </si>
  <si>
    <t>Documentation</t>
  </si>
  <si>
    <t>Absences</t>
  </si>
  <si>
    <t>Type</t>
  </si>
  <si>
    <t>Temps total</t>
  </si>
  <si>
    <t>Mardi</t>
  </si>
  <si>
    <t>Jeudi</t>
  </si>
  <si>
    <t>Vendredi</t>
  </si>
  <si>
    <t>Récapitulatif de la semaine</t>
  </si>
  <si>
    <t>Total</t>
  </si>
  <si>
    <t>Analyse</t>
  </si>
  <si>
    <t>Recherches</t>
  </si>
  <si>
    <t>Conception</t>
  </si>
  <si>
    <t>Réalisation</t>
  </si>
  <si>
    <t>Tests</t>
  </si>
  <si>
    <t>Planification</t>
  </si>
  <si>
    <t>Mercredi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</si>
</sst>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333333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9" xfId="0" applyBorder="1" applyAlignment="1">
      <alignment vertical="center"/>
    </xf>
    <xf numFmtId="0" fontId="0" fillId="0" borderId="8" xfId="0" applyBorder="1" applyAlignment="1">
      <alignment vertical="center" wrapText="1"/>
    </xf>
    <xf numFmtId="0" fontId="2" fillId="0" borderId="0" xfId="0" applyFon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1">
    <cellStyle name="Normal" xfId="0" builtinId="0"/>
  </cellStyles>
  <dxfs count="33">
    <dxf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center" textRotation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Répartition</a:t>
            </a:r>
            <a:r>
              <a:rPr lang="en-GB" baseline="0"/>
              <a:t> du temps de travail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Résumé!$C$21</c:f>
              <c:strCache>
                <c:ptCount val="1"/>
                <c:pt idx="0">
                  <c:v>Temps 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2C1E-4C5A-B313-55D66B2F6D1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C1E-4C5A-B313-55D66B2F6D1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E34-4944-9F3F-55E9089A490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C1E-4C5A-B313-55D66B2F6D1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E34-4944-9F3F-55E9089A490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2C1E-4C5A-B313-55D66B2F6D1C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C1E-4C5A-B313-55D66B2F6D1C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2C1E-4C5A-B313-55D66B2F6D1C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E34-4944-9F3F-55E9089A490E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2C1E-4C5A-B313-55D66B2F6D1C}"/>
                </c:ext>
              </c:extLst>
            </c:dLbl>
            <c:dLbl>
              <c:idx val="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2C1E-4C5A-B313-55D66B2F6D1C}"/>
                </c:ext>
              </c:extLst>
            </c:dLbl>
            <c:dLbl>
              <c:idx val="3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2C1E-4C5A-B313-55D66B2F6D1C}"/>
                </c:ext>
              </c:extLst>
            </c:dLbl>
            <c:dLbl>
              <c:idx val="5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2C1E-4C5A-B313-55D66B2F6D1C}"/>
                </c:ext>
              </c:extLst>
            </c:dLbl>
            <c:dLbl>
              <c:idx val="6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2C1E-4C5A-B313-55D66B2F6D1C}"/>
                </c:ext>
              </c:extLst>
            </c:dLbl>
            <c:dLbl>
              <c:idx val="7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2C1E-4C5A-B313-55D66B2F6D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Résumé!$B$22:$B$30</c:f>
              <c:strCache>
                <c:ptCount val="9"/>
                <c:pt idx="0">
                  <c:v>Analyse</c:v>
                </c:pt>
                <c:pt idx="1">
                  <c:v>Recherches</c:v>
                </c:pt>
                <c:pt idx="2">
                  <c:v>Conception</c:v>
                </c:pt>
                <c:pt idx="3">
                  <c:v>Documentation</c:v>
                </c:pt>
                <c:pt idx="4">
                  <c:v>Réalisation</c:v>
                </c:pt>
                <c:pt idx="5">
                  <c:v>Autres</c:v>
                </c:pt>
                <c:pt idx="6">
                  <c:v>Tests</c:v>
                </c:pt>
                <c:pt idx="7">
                  <c:v>Planification</c:v>
                </c:pt>
                <c:pt idx="8">
                  <c:v>Absences</c:v>
                </c:pt>
              </c:strCache>
            </c:strRef>
          </c:cat>
          <c:val>
            <c:numRef>
              <c:f>Résumé!$C$22:$C$30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E-4C5A-B313-55D66B2F6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Répartition du temps de travail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312-4220-9EAC-5A2C2459BBB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DD-4198-B160-C7087326DE9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2DD-4198-B160-C7087326DE9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312-4220-9EAC-5A2C2459BBB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2DD-4198-B160-C7087326DE9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6312-4220-9EAC-5A2C2459BBB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2DD-4198-B160-C7087326DE90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2DD-4198-B160-C7087326DE90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2DD-4198-B160-C7087326DE90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6312-4220-9EAC-5A2C2459BBBE}"/>
                </c:ext>
              </c:extLst>
            </c:dLbl>
            <c:dLbl>
              <c:idx val="3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6312-4220-9EAC-5A2C2459BBBE}"/>
                </c:ext>
              </c:extLst>
            </c:dLbl>
            <c:dLbl>
              <c:idx val="5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6312-4220-9EAC-5A2C2459BB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Mardi!$C$24:$C$32</c:f>
              <c:strCache>
                <c:ptCount val="9"/>
                <c:pt idx="0">
                  <c:v>Analyse</c:v>
                </c:pt>
                <c:pt idx="1">
                  <c:v>Recherches</c:v>
                </c:pt>
                <c:pt idx="2">
                  <c:v>Conception</c:v>
                </c:pt>
                <c:pt idx="3">
                  <c:v>Documentation</c:v>
                </c:pt>
                <c:pt idx="4">
                  <c:v>Réalisation</c:v>
                </c:pt>
                <c:pt idx="5">
                  <c:v>Autres</c:v>
                </c:pt>
                <c:pt idx="6">
                  <c:v>Tests</c:v>
                </c:pt>
                <c:pt idx="7">
                  <c:v>Planification</c:v>
                </c:pt>
                <c:pt idx="8">
                  <c:v>Absences</c:v>
                </c:pt>
              </c:strCache>
            </c:strRef>
          </c:cat>
          <c:val>
            <c:numRef>
              <c:f>Mardi!$D$24:$D$32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2-4220-9EAC-5A2C2459B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Répartition du temps de travail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dLbl>
              <c:idx val="3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Mercredi!$C$24:$C$32</c:f>
              <c:strCache>
                <c:ptCount val="9"/>
                <c:pt idx="0">
                  <c:v>Analyse</c:v>
                </c:pt>
                <c:pt idx="1">
                  <c:v>Recherches</c:v>
                </c:pt>
                <c:pt idx="2">
                  <c:v>Conception</c:v>
                </c:pt>
                <c:pt idx="3">
                  <c:v>Documentation</c:v>
                </c:pt>
                <c:pt idx="4">
                  <c:v>Réalisation</c:v>
                </c:pt>
                <c:pt idx="5">
                  <c:v>Autres</c:v>
                </c:pt>
                <c:pt idx="6">
                  <c:v>Tests</c:v>
                </c:pt>
                <c:pt idx="7">
                  <c:v>Planification</c:v>
                </c:pt>
                <c:pt idx="8">
                  <c:v>Absences</c:v>
                </c:pt>
              </c:strCache>
            </c:strRef>
          </c:cat>
          <c:val>
            <c:numRef>
              <c:f>Mercredi!$D$24:$D$32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F1B-46D8-94F1-BA36E5779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Répartition du temps de travail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Jeudi!$D$23</c:f>
              <c:strCache>
                <c:ptCount val="1"/>
                <c:pt idx="0">
                  <c:v>Temps 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C3A9-43BD-87CB-1353D2698C5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CC4-4C03-BB76-18935959BFF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CC4-4C03-BB76-18935959BFF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3A9-43BD-87CB-1353D2698C5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CC4-4C03-BB76-18935959BFF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3A9-43BD-87CB-1353D2698C5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C3A9-43BD-87CB-1353D2698C5D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CC4-4C03-BB76-18935959BFFC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CC4-4C03-BB76-18935959BFFC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C3A9-43BD-87CB-1353D2698C5D}"/>
                </c:ext>
              </c:extLst>
            </c:dLbl>
            <c:dLbl>
              <c:idx val="3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C3A9-43BD-87CB-1353D2698C5D}"/>
                </c:ext>
              </c:extLst>
            </c:dLbl>
            <c:dLbl>
              <c:idx val="5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C3A9-43BD-87CB-1353D2698C5D}"/>
                </c:ext>
              </c:extLst>
            </c:dLbl>
            <c:dLbl>
              <c:idx val="6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C3A9-43BD-87CB-1353D2698C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Jeudi!$C$24:$C$32</c:f>
              <c:strCache>
                <c:ptCount val="9"/>
                <c:pt idx="0">
                  <c:v>Analyse</c:v>
                </c:pt>
                <c:pt idx="1">
                  <c:v>Recherches</c:v>
                </c:pt>
                <c:pt idx="2">
                  <c:v>Conception</c:v>
                </c:pt>
                <c:pt idx="3">
                  <c:v>Documentation</c:v>
                </c:pt>
                <c:pt idx="4">
                  <c:v>Réalisation</c:v>
                </c:pt>
                <c:pt idx="5">
                  <c:v>Autres</c:v>
                </c:pt>
                <c:pt idx="6">
                  <c:v>Tests</c:v>
                </c:pt>
                <c:pt idx="7">
                  <c:v>Planification</c:v>
                </c:pt>
                <c:pt idx="8">
                  <c:v>Absences</c:v>
                </c:pt>
              </c:strCache>
            </c:strRef>
          </c:cat>
          <c:val>
            <c:numRef>
              <c:f>Jeudi!$D$24:$D$32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A9-43BD-87CB-1353D2698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82D-4843-A592-A1DD4EBE545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82D-4843-A592-A1DD4EBE545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82D-4843-A592-A1DD4EBE545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82D-4843-A592-A1DD4EBE545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82D-4843-A592-A1DD4EBE545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82D-4843-A592-A1DD4EBE545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82D-4843-A592-A1DD4EBE545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82D-4843-A592-A1DD4EBE545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82D-4843-A592-A1DD4EBE5456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482D-4843-A592-A1DD4EBE5456}"/>
                </c:ext>
              </c:extLst>
            </c:dLbl>
            <c:dLbl>
              <c:idx val="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482D-4843-A592-A1DD4EBE5456}"/>
                </c:ext>
              </c:extLst>
            </c:dLbl>
            <c:dLbl>
              <c:idx val="3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482D-4843-A592-A1DD4EBE5456}"/>
                </c:ext>
              </c:extLst>
            </c:dLbl>
            <c:dLbl>
              <c:idx val="5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482D-4843-A592-A1DD4EBE54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Vendredi!$C$24:$C$32</c:f>
              <c:strCache>
                <c:ptCount val="9"/>
                <c:pt idx="0">
                  <c:v>Analyse</c:v>
                </c:pt>
                <c:pt idx="1">
                  <c:v>Recherches</c:v>
                </c:pt>
                <c:pt idx="2">
                  <c:v>Conception</c:v>
                </c:pt>
                <c:pt idx="3">
                  <c:v>Documentation</c:v>
                </c:pt>
                <c:pt idx="4">
                  <c:v>Réalisation</c:v>
                </c:pt>
                <c:pt idx="5">
                  <c:v>Autres</c:v>
                </c:pt>
                <c:pt idx="6">
                  <c:v>Tests</c:v>
                </c:pt>
                <c:pt idx="7">
                  <c:v>Planification</c:v>
                </c:pt>
                <c:pt idx="8">
                  <c:v>Absences</c:v>
                </c:pt>
              </c:strCache>
            </c:strRef>
          </c:cat>
          <c:val>
            <c:numRef>
              <c:f>Vendredi!$D$24:$D$32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C-4F23-A639-F0697C691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4762</xdr:rowOff>
    </xdr:from>
    <xdr:to>
      <xdr:col>16</xdr:col>
      <xdr:colOff>1200</xdr:colOff>
      <xdr:row>19</xdr:row>
      <xdr:rowOff>81562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CAC66C-DB71-45BD-824C-877A207698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9523</xdr:colOff>
      <xdr:row>3</xdr:row>
      <xdr:rowOff>4762</xdr:rowOff>
    </xdr:from>
    <xdr:to>
      <xdr:col>16</xdr:col>
      <xdr:colOff>10723</xdr:colOff>
      <xdr:row>10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CA13E0-8DAA-4DF2-994E-A7502977EB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9523</xdr:colOff>
      <xdr:row>3</xdr:row>
      <xdr:rowOff>4762</xdr:rowOff>
    </xdr:from>
    <xdr:to>
      <xdr:col>16</xdr:col>
      <xdr:colOff>10723</xdr:colOff>
      <xdr:row>10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CA13E0-8DAA-4DF2-994E-A7502977E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3</xdr:row>
      <xdr:rowOff>4762</xdr:rowOff>
    </xdr:from>
    <xdr:to>
      <xdr:col>16</xdr:col>
      <xdr:colOff>10725</xdr:colOff>
      <xdr:row>12</xdr:row>
      <xdr:rowOff>81562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7A90CC-F482-45B6-AAA4-B34098EB2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9523</xdr:colOff>
      <xdr:row>3</xdr:row>
      <xdr:rowOff>14287</xdr:rowOff>
    </xdr:from>
    <xdr:to>
      <xdr:col>16</xdr:col>
      <xdr:colOff>10723</xdr:colOff>
      <xdr:row>13</xdr:row>
      <xdr:rowOff>91087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C13B61-F7F3-49B0-B341-1FEFE5A692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Table6610" displayName="Table6610" ref="B21:C30" totalsRowShown="0">
  <autoFilter ref="B21:C30"/>
  <tableColumns count="2">
    <tableColumn id="1" name="Type"/>
    <tableColumn id="2" name="Temps total" dataDxfId="32">
      <calculatedColumnFormula>SUM(Mardi!D24,Jeudi!D24,Vendredi!D24)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C4:E20" totalsRowShown="0" headerRowDxfId="31" dataDxfId="29" headerRowBorderDxfId="30" tableBorderDxfId="28" totalsRowBorderDxfId="27">
  <autoFilter ref="C4:E20"/>
  <tableColumns count="3">
    <tableColumn id="1" name="Type d'activité" dataDxfId="26"/>
    <tableColumn id="2" name="Description de l'activité" dataDxfId="25"/>
    <tableColumn id="3" name="Temps nécessaire" dataDxfId="24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5" name="Table66" displayName="Table66" ref="C23:D32" totalsRowShown="0">
  <autoFilter ref="C23:D32"/>
  <tableColumns count="2">
    <tableColumn id="1" name="Type"/>
    <tableColumn id="2" name="Temps total">
      <calculatedColumnFormula>SUMIF(C$5:C$20,C24,E$5:E$20)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1" name="Table72" displayName="Table72" ref="C4:E20" totalsRowShown="0" headerRowDxfId="7" dataDxfId="6" headerRowBorderDxfId="4" tableBorderDxfId="5" totalsRowBorderDxfId="3">
  <autoFilter ref="C4:E20"/>
  <tableColumns count="3">
    <tableColumn id="1" name="Type d'activité" dataDxfId="2"/>
    <tableColumn id="2" name="Description de l'activité" dataDxfId="1"/>
    <tableColumn id="3" name="Temps nécessaire" dataDxfId="0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2" name="Table663" displayName="Table663" ref="C23:D32" totalsRowShown="0">
  <autoFilter ref="C23:D32"/>
  <tableColumns count="2">
    <tableColumn id="1" name="Type"/>
    <tableColumn id="2" name="Temps total">
      <calculatedColumnFormula>SUMIF(C$5:C$20,C24,E$5:E$20)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0" name="Table10" displayName="Table10" ref="C4:E20" totalsRowShown="0" headerRowDxfId="23" dataDxfId="21" headerRowBorderDxfId="22" tableBorderDxfId="20" totalsRowBorderDxfId="19">
  <autoFilter ref="C4:E20"/>
  <tableColumns count="3">
    <tableColumn id="1" name="Type d'activité" dataDxfId="18"/>
    <tableColumn id="2" name="Description de l'activité" dataDxfId="17"/>
    <tableColumn id="3" name="Temps nécessaire" dataDxfId="1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6" name="Table667" displayName="Table667" ref="C23:D32" totalsRowShown="0">
  <autoFilter ref="C23:D32"/>
  <tableColumns count="2">
    <tableColumn id="1" name="Type"/>
    <tableColumn id="2" name="Temps total">
      <calculatedColumnFormula>SUMIF(C$5:C$20,C24,E$5:E$20)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3" name="Table3" displayName="Table3" ref="C4:E20" totalsRowShown="0" headerRowDxfId="15" dataDxfId="13" headerRowBorderDxfId="14" tableBorderDxfId="12" totalsRowBorderDxfId="11">
  <autoFilter ref="C4:E20"/>
  <tableColumns count="3">
    <tableColumn id="1" name="Type d'activité" dataDxfId="10"/>
    <tableColumn id="2" name="Description de l'activité" dataDxfId="9"/>
    <tableColumn id="3" name="Temps nécessaire" dataDxfId="8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8" name="Table6679" displayName="Table6679" ref="C23:D32" totalsRowShown="0">
  <autoFilter ref="C23:D32"/>
  <tableColumns count="2">
    <tableColumn id="1" name="Type"/>
    <tableColumn id="2" name="Temps total">
      <calculatedColumnFormula>SUMIF(C$5:C$20,C24,E$5:E$20)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3"/>
  <sheetViews>
    <sheetView tabSelected="1" workbookViewId="0">
      <selection activeCell="H27" sqref="H27"/>
    </sheetView>
  </sheetViews>
  <sheetFormatPr baseColWidth="10" defaultColWidth="9.140625" defaultRowHeight="15" x14ac:dyDescent="0.25"/>
  <cols>
    <col min="2" max="2" width="14.85546875" bestFit="1" customWidth="1"/>
    <col min="3" max="3" width="13.7109375" bestFit="1" customWidth="1"/>
  </cols>
  <sheetData>
    <row r="1" spans="1:7" x14ac:dyDescent="0.25">
      <c r="A1" s="1"/>
    </row>
    <row r="2" spans="1:7" x14ac:dyDescent="0.25">
      <c r="B2" s="13" t="s">
        <v>11</v>
      </c>
      <c r="C2" s="13"/>
      <c r="D2" s="13"/>
      <c r="E2" s="13"/>
      <c r="F2" s="13"/>
      <c r="G2" s="13"/>
    </row>
    <row r="4" spans="1:7" x14ac:dyDescent="0.25">
      <c r="B4" s="12"/>
      <c r="C4" s="12"/>
      <c r="D4" s="12"/>
      <c r="E4" s="12"/>
      <c r="F4" s="12"/>
      <c r="G4" s="12"/>
    </row>
    <row r="5" spans="1:7" x14ac:dyDescent="0.25">
      <c r="B5" s="12"/>
      <c r="C5" s="12"/>
      <c r="D5" s="12"/>
      <c r="E5" s="12"/>
      <c r="F5" s="12"/>
      <c r="G5" s="12"/>
    </row>
    <row r="6" spans="1:7" x14ac:dyDescent="0.25">
      <c r="B6" s="12"/>
      <c r="C6" s="12"/>
      <c r="D6" s="12"/>
      <c r="E6" s="12"/>
      <c r="F6" s="12"/>
      <c r="G6" s="12"/>
    </row>
    <row r="7" spans="1:7" x14ac:dyDescent="0.25">
      <c r="B7" s="12"/>
      <c r="C7" s="12"/>
      <c r="D7" s="12"/>
      <c r="E7" s="12"/>
      <c r="F7" s="12"/>
      <c r="G7" s="12"/>
    </row>
    <row r="8" spans="1:7" x14ac:dyDescent="0.25">
      <c r="B8" s="12"/>
      <c r="C8" s="12"/>
      <c r="D8" s="12"/>
      <c r="E8" s="12"/>
      <c r="F8" s="12"/>
      <c r="G8" s="12"/>
    </row>
    <row r="9" spans="1:7" x14ac:dyDescent="0.25">
      <c r="B9" s="12"/>
      <c r="C9" s="12"/>
      <c r="D9" s="12"/>
      <c r="E9" s="12"/>
      <c r="F9" s="12"/>
      <c r="G9" s="12"/>
    </row>
    <row r="10" spans="1:7" x14ac:dyDescent="0.25">
      <c r="B10" s="12"/>
      <c r="C10" s="12"/>
      <c r="D10" s="12"/>
      <c r="E10" s="12"/>
      <c r="F10" s="12"/>
      <c r="G10" s="12"/>
    </row>
    <row r="11" spans="1:7" x14ac:dyDescent="0.25">
      <c r="B11" s="12"/>
      <c r="C11" s="12"/>
      <c r="D11" s="12"/>
      <c r="E11" s="12"/>
      <c r="F11" s="12"/>
      <c r="G11" s="12"/>
    </row>
    <row r="12" spans="1:7" x14ac:dyDescent="0.25">
      <c r="B12" s="12"/>
      <c r="C12" s="12"/>
      <c r="D12" s="12"/>
      <c r="E12" s="12"/>
      <c r="F12" s="12"/>
      <c r="G12" s="12"/>
    </row>
    <row r="13" spans="1:7" x14ac:dyDescent="0.25">
      <c r="B13" s="12"/>
      <c r="C13" s="12"/>
      <c r="D13" s="12"/>
      <c r="E13" s="12"/>
      <c r="F13" s="12"/>
      <c r="G13" s="12"/>
    </row>
    <row r="14" spans="1:7" x14ac:dyDescent="0.25">
      <c r="B14" s="12"/>
      <c r="C14" s="12"/>
      <c r="D14" s="12"/>
      <c r="E14" s="12"/>
      <c r="F14" s="12"/>
      <c r="G14" s="12"/>
    </row>
    <row r="15" spans="1:7" x14ac:dyDescent="0.25">
      <c r="B15" s="12"/>
      <c r="C15" s="12"/>
      <c r="D15" s="12"/>
      <c r="E15" s="12"/>
      <c r="F15" s="12"/>
      <c r="G15" s="12"/>
    </row>
    <row r="16" spans="1:7" x14ac:dyDescent="0.25">
      <c r="B16" s="12"/>
      <c r="C16" s="12"/>
      <c r="D16" s="12"/>
      <c r="E16" s="12"/>
      <c r="F16" s="12"/>
      <c r="G16" s="12"/>
    </row>
    <row r="17" spans="2:7" x14ac:dyDescent="0.25">
      <c r="B17" s="12"/>
      <c r="C17" s="12"/>
      <c r="D17" s="12"/>
      <c r="E17" s="12"/>
      <c r="F17" s="12"/>
      <c r="G17" s="12"/>
    </row>
    <row r="21" spans="2:7" x14ac:dyDescent="0.25">
      <c r="B21" t="s">
        <v>6</v>
      </c>
      <c r="C21" t="s">
        <v>7</v>
      </c>
    </row>
    <row r="22" spans="2:7" x14ac:dyDescent="0.25">
      <c r="B22" t="s">
        <v>13</v>
      </c>
      <c r="C22">
        <f>SUM(Mardi!D24,Jeudi!D24,Vendredi!D24)</f>
        <v>0</v>
      </c>
    </row>
    <row r="23" spans="2:7" x14ac:dyDescent="0.25">
      <c r="B23" t="s">
        <v>14</v>
      </c>
      <c r="C23">
        <f>SUM(Mardi!D25,Jeudi!D25,Vendredi!D25)</f>
        <v>0</v>
      </c>
    </row>
    <row r="24" spans="2:7" x14ac:dyDescent="0.25">
      <c r="B24" t="s">
        <v>15</v>
      </c>
      <c r="C24">
        <f>SUM(Mardi!D26,Jeudi!D26,Vendredi!D26)</f>
        <v>0</v>
      </c>
    </row>
    <row r="25" spans="2:7" x14ac:dyDescent="0.25">
      <c r="B25" t="s">
        <v>4</v>
      </c>
      <c r="C25">
        <f>SUM(Mardi!D27,Jeudi!D27,Vendredi!D27)</f>
        <v>0</v>
      </c>
    </row>
    <row r="26" spans="2:7" x14ac:dyDescent="0.25">
      <c r="B26" t="s">
        <v>16</v>
      </c>
      <c r="C26">
        <f>SUM(Mardi!D28,Jeudi!D28,Vendredi!D28)</f>
        <v>0</v>
      </c>
    </row>
    <row r="27" spans="2:7" x14ac:dyDescent="0.25">
      <c r="B27" t="s">
        <v>3</v>
      </c>
      <c r="C27">
        <f>SUM(Mardi!D29,Jeudi!D29,Vendredi!D29)</f>
        <v>0</v>
      </c>
    </row>
    <row r="28" spans="2:7" x14ac:dyDescent="0.25">
      <c r="B28" t="s">
        <v>17</v>
      </c>
      <c r="C28">
        <f>SUM(Mardi!D30,Jeudi!D30,Vendredi!D30)</f>
        <v>0</v>
      </c>
    </row>
    <row r="29" spans="2:7" x14ac:dyDescent="0.25">
      <c r="B29" t="s">
        <v>18</v>
      </c>
      <c r="C29">
        <f>SUM(Mardi!D31,Jeudi!D31,Vendredi!D31)</f>
        <v>0</v>
      </c>
    </row>
    <row r="30" spans="2:7" x14ac:dyDescent="0.25">
      <c r="B30" t="s">
        <v>5</v>
      </c>
      <c r="C30">
        <f>SUM(Mardi!D32,Jeudi!D32,Vendredi!D32)</f>
        <v>0</v>
      </c>
    </row>
    <row r="32" spans="2:7" x14ac:dyDescent="0.25">
      <c r="B32" s="11" t="s">
        <v>12</v>
      </c>
      <c r="C32" s="11">
        <f>SUM(Table6610[Temps total])</f>
        <v>0</v>
      </c>
    </row>
    <row r="33" spans="2:3" x14ac:dyDescent="0.25">
      <c r="B33" s="11"/>
      <c r="C33" s="11"/>
    </row>
  </sheetData>
  <mergeCells count="2">
    <mergeCell ref="B4:G17"/>
    <mergeCell ref="B2:G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workbookViewId="0">
      <selection activeCell="I18" sqref="I18"/>
    </sheetView>
  </sheetViews>
  <sheetFormatPr baseColWidth="10" defaultColWidth="9.140625" defaultRowHeight="15" x14ac:dyDescent="0.25"/>
  <cols>
    <col min="3" max="3" width="18.7109375" bestFit="1" customWidth="1"/>
    <col min="4" max="4" width="47.140625" customWidth="1"/>
    <col min="5" max="5" width="21.42578125" bestFit="1" customWidth="1"/>
  </cols>
  <sheetData>
    <row r="1" spans="1:5" x14ac:dyDescent="0.25">
      <c r="A1" s="1"/>
    </row>
    <row r="2" spans="1:5" x14ac:dyDescent="0.25">
      <c r="C2" s="14" t="s">
        <v>8</v>
      </c>
      <c r="D2" s="15"/>
      <c r="E2" s="16"/>
    </row>
    <row r="3" spans="1:5" x14ac:dyDescent="0.25">
      <c r="C3" s="2"/>
      <c r="D3" s="2"/>
      <c r="E3" s="2"/>
    </row>
    <row r="4" spans="1:5" x14ac:dyDescent="0.25">
      <c r="C4" s="3" t="s">
        <v>0</v>
      </c>
      <c r="D4" s="4" t="s">
        <v>1</v>
      </c>
      <c r="E4" s="5" t="s">
        <v>2</v>
      </c>
    </row>
    <row r="5" spans="1:5" x14ac:dyDescent="0.25">
      <c r="C5" s="6"/>
      <c r="D5" s="8"/>
      <c r="E5" s="7"/>
    </row>
    <row r="6" spans="1:5" x14ac:dyDescent="0.25">
      <c r="C6" s="6"/>
      <c r="D6" s="8"/>
      <c r="E6" s="7"/>
    </row>
    <row r="7" spans="1:5" x14ac:dyDescent="0.25">
      <c r="C7" s="6"/>
      <c r="D7" s="8"/>
      <c r="E7" s="7"/>
    </row>
    <row r="8" spans="1:5" x14ac:dyDescent="0.25">
      <c r="C8" s="6"/>
      <c r="D8" s="8"/>
      <c r="E8" s="7"/>
    </row>
    <row r="9" spans="1:5" x14ac:dyDescent="0.25">
      <c r="C9" s="6"/>
      <c r="D9" s="8"/>
      <c r="E9" s="7"/>
    </row>
    <row r="10" spans="1:5" x14ac:dyDescent="0.25">
      <c r="C10" s="6"/>
      <c r="D10" s="8"/>
      <c r="E10" s="7"/>
    </row>
    <row r="11" spans="1:5" x14ac:dyDescent="0.25">
      <c r="C11" s="6"/>
      <c r="D11" s="8"/>
      <c r="E11" s="7"/>
    </row>
    <row r="12" spans="1:5" x14ac:dyDescent="0.25">
      <c r="C12" s="6"/>
      <c r="D12" s="8"/>
      <c r="E12" s="7"/>
    </row>
    <row r="13" spans="1:5" x14ac:dyDescent="0.25">
      <c r="C13" s="6"/>
      <c r="D13" s="8"/>
      <c r="E13" s="7"/>
    </row>
    <row r="14" spans="1:5" x14ac:dyDescent="0.25">
      <c r="C14" s="6"/>
      <c r="D14" s="8"/>
      <c r="E14" s="7"/>
    </row>
    <row r="15" spans="1:5" x14ac:dyDescent="0.25">
      <c r="C15" s="6"/>
      <c r="D15" s="8"/>
      <c r="E15" s="7"/>
    </row>
    <row r="16" spans="1:5" x14ac:dyDescent="0.25">
      <c r="C16" s="6"/>
      <c r="D16" s="8"/>
      <c r="E16" s="7"/>
    </row>
    <row r="17" spans="3:5" x14ac:dyDescent="0.25">
      <c r="C17" s="6"/>
      <c r="D17" s="8"/>
      <c r="E17" s="7"/>
    </row>
    <row r="18" spans="3:5" x14ac:dyDescent="0.25">
      <c r="C18" s="6"/>
      <c r="D18" s="8"/>
      <c r="E18" s="7"/>
    </row>
    <row r="19" spans="3:5" x14ac:dyDescent="0.25">
      <c r="C19" s="6"/>
      <c r="D19" s="8"/>
      <c r="E19" s="7"/>
    </row>
    <row r="20" spans="3:5" x14ac:dyDescent="0.25">
      <c r="C20" s="6"/>
      <c r="D20" s="10"/>
      <c r="E20" s="9"/>
    </row>
    <row r="23" spans="3:5" x14ac:dyDescent="0.25">
      <c r="C23" t="s">
        <v>6</v>
      </c>
      <c r="D23" t="s">
        <v>7</v>
      </c>
    </row>
    <row r="24" spans="3:5" x14ac:dyDescent="0.25">
      <c r="C24" t="s">
        <v>13</v>
      </c>
      <c r="D24">
        <f t="shared" ref="D24:D32" si="0">SUMIF(C$5:C$20,C24,E$5:E$20)</f>
        <v>0</v>
      </c>
    </row>
    <row r="25" spans="3:5" x14ac:dyDescent="0.25">
      <c r="C25" t="s">
        <v>14</v>
      </c>
      <c r="D25">
        <f t="shared" si="0"/>
        <v>0</v>
      </c>
    </row>
    <row r="26" spans="3:5" x14ac:dyDescent="0.25">
      <c r="C26" t="s">
        <v>15</v>
      </c>
      <c r="D26">
        <f t="shared" si="0"/>
        <v>0</v>
      </c>
    </row>
    <row r="27" spans="3:5" x14ac:dyDescent="0.25">
      <c r="C27" t="s">
        <v>4</v>
      </c>
      <c r="D27">
        <f t="shared" si="0"/>
        <v>0</v>
      </c>
    </row>
    <row r="28" spans="3:5" x14ac:dyDescent="0.25">
      <c r="C28" t="s">
        <v>16</v>
      </c>
      <c r="D28">
        <f t="shared" si="0"/>
        <v>0</v>
      </c>
    </row>
    <row r="29" spans="3:5" x14ac:dyDescent="0.25">
      <c r="C29" t="s">
        <v>3</v>
      </c>
      <c r="D29">
        <f t="shared" si="0"/>
        <v>0</v>
      </c>
    </row>
    <row r="30" spans="3:5" x14ac:dyDescent="0.25">
      <c r="C30" t="s">
        <v>17</v>
      </c>
      <c r="D30">
        <f t="shared" si="0"/>
        <v>0</v>
      </c>
    </row>
    <row r="31" spans="3:5" x14ac:dyDescent="0.25">
      <c r="C31" t="s">
        <v>18</v>
      </c>
      <c r="D31">
        <f t="shared" si="0"/>
        <v>0</v>
      </c>
    </row>
    <row r="32" spans="3:5" x14ac:dyDescent="0.25">
      <c r="C32" t="s">
        <v>5</v>
      </c>
      <c r="D32">
        <f t="shared" si="0"/>
        <v>0</v>
      </c>
    </row>
    <row r="34" spans="3:4" x14ac:dyDescent="0.25">
      <c r="C34" s="11" t="s">
        <v>12</v>
      </c>
      <c r="D34" s="11">
        <f>SUM(Table66[Temps total])</f>
        <v>0</v>
      </c>
    </row>
    <row r="35" spans="3:4" x14ac:dyDescent="0.25">
      <c r="C35" s="11"/>
      <c r="D35" s="11"/>
    </row>
  </sheetData>
  <mergeCells count="1">
    <mergeCell ref="C2:E2"/>
  </mergeCells>
  <dataValidations count="1">
    <dataValidation type="list" allowBlank="1" showInputMessage="1" showErrorMessage="1" sqref="C5:C20">
      <formula1>$C$24:$C$32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workbookViewId="0">
      <selection activeCell="E5" sqref="E5"/>
    </sheetView>
  </sheetViews>
  <sheetFormatPr baseColWidth="10" defaultRowHeight="15" x14ac:dyDescent="0.25"/>
  <cols>
    <col min="3" max="3" width="18.5703125" bestFit="1" customWidth="1"/>
    <col min="4" max="4" width="26.85546875" bestFit="1" customWidth="1"/>
    <col min="5" max="5" width="21.42578125" bestFit="1" customWidth="1"/>
  </cols>
  <sheetData>
    <row r="1" spans="1:5" x14ac:dyDescent="0.25">
      <c r="A1" s="1"/>
    </row>
    <row r="2" spans="1:5" x14ac:dyDescent="0.25">
      <c r="C2" s="14" t="s">
        <v>19</v>
      </c>
      <c r="D2" s="15"/>
      <c r="E2" s="16"/>
    </row>
    <row r="3" spans="1:5" x14ac:dyDescent="0.25">
      <c r="C3" s="2"/>
      <c r="D3" s="2"/>
      <c r="E3" s="2"/>
    </row>
    <row r="4" spans="1:5" x14ac:dyDescent="0.25">
      <c r="C4" s="3" t="s">
        <v>0</v>
      </c>
      <c r="D4" s="4" t="s">
        <v>1</v>
      </c>
      <c r="E4" s="5" t="s">
        <v>2</v>
      </c>
    </row>
    <row r="5" spans="1:5" x14ac:dyDescent="0.25">
      <c r="C5" s="6"/>
      <c r="D5" s="8"/>
      <c r="E5" s="7"/>
    </row>
    <row r="6" spans="1:5" x14ac:dyDescent="0.25">
      <c r="C6" s="6"/>
      <c r="D6" s="8"/>
      <c r="E6" s="7"/>
    </row>
    <row r="7" spans="1:5" x14ac:dyDescent="0.25">
      <c r="C7" s="6"/>
      <c r="D7" s="8"/>
      <c r="E7" s="7"/>
    </row>
    <row r="8" spans="1:5" x14ac:dyDescent="0.25">
      <c r="C8" s="6"/>
      <c r="D8" s="8"/>
      <c r="E8" s="7"/>
    </row>
    <row r="9" spans="1:5" x14ac:dyDescent="0.25">
      <c r="C9" s="6"/>
      <c r="D9" s="8"/>
      <c r="E9" s="7"/>
    </row>
    <row r="10" spans="1:5" x14ac:dyDescent="0.25">
      <c r="C10" s="6"/>
      <c r="D10" s="8"/>
      <c r="E10" s="7"/>
    </row>
    <row r="11" spans="1:5" x14ac:dyDescent="0.25">
      <c r="C11" s="6"/>
      <c r="D11" s="8"/>
      <c r="E11" s="7"/>
    </row>
    <row r="12" spans="1:5" x14ac:dyDescent="0.25">
      <c r="C12" s="6"/>
      <c r="D12" s="8"/>
      <c r="E12" s="7"/>
    </row>
    <row r="13" spans="1:5" x14ac:dyDescent="0.25">
      <c r="C13" s="6"/>
      <c r="D13" s="8"/>
      <c r="E13" s="7"/>
    </row>
    <row r="14" spans="1:5" x14ac:dyDescent="0.25">
      <c r="C14" s="6"/>
      <c r="D14" s="8"/>
      <c r="E14" s="7"/>
    </row>
    <row r="15" spans="1:5" x14ac:dyDescent="0.25">
      <c r="C15" s="6"/>
      <c r="D15" s="8"/>
      <c r="E15" s="7"/>
    </row>
    <row r="16" spans="1:5" x14ac:dyDescent="0.25">
      <c r="C16" s="6"/>
      <c r="D16" s="8"/>
      <c r="E16" s="7"/>
    </row>
    <row r="17" spans="3:5" x14ac:dyDescent="0.25">
      <c r="C17" s="6"/>
      <c r="D17" s="8"/>
      <c r="E17" s="7"/>
    </row>
    <row r="18" spans="3:5" x14ac:dyDescent="0.25">
      <c r="C18" s="6"/>
      <c r="D18" s="8"/>
      <c r="E18" s="7"/>
    </row>
    <row r="19" spans="3:5" x14ac:dyDescent="0.25">
      <c r="C19" s="6"/>
      <c r="D19" s="8"/>
      <c r="E19" s="7"/>
    </row>
    <row r="20" spans="3:5" x14ac:dyDescent="0.25">
      <c r="C20" s="6"/>
      <c r="D20" s="10"/>
      <c r="E20" s="9"/>
    </row>
    <row r="23" spans="3:5" x14ac:dyDescent="0.25">
      <c r="C23" t="s">
        <v>6</v>
      </c>
      <c r="D23" t="s">
        <v>7</v>
      </c>
    </row>
    <row r="24" spans="3:5" x14ac:dyDescent="0.25">
      <c r="C24" t="s">
        <v>13</v>
      </c>
      <c r="D24">
        <f t="shared" ref="D24:D32" si="0">SUMIF(C$5:C$20,C24,E$5:E$20)</f>
        <v>0</v>
      </c>
    </row>
    <row r="25" spans="3:5" x14ac:dyDescent="0.25">
      <c r="C25" t="s">
        <v>14</v>
      </c>
      <c r="D25">
        <f t="shared" si="0"/>
        <v>0</v>
      </c>
    </row>
    <row r="26" spans="3:5" x14ac:dyDescent="0.25">
      <c r="C26" t="s">
        <v>15</v>
      </c>
      <c r="D26">
        <f t="shared" si="0"/>
        <v>0</v>
      </c>
    </row>
    <row r="27" spans="3:5" x14ac:dyDescent="0.25">
      <c r="C27" t="s">
        <v>4</v>
      </c>
      <c r="D27">
        <f t="shared" si="0"/>
        <v>0</v>
      </c>
    </row>
    <row r="28" spans="3:5" x14ac:dyDescent="0.25">
      <c r="C28" t="s">
        <v>16</v>
      </c>
      <c r="D28">
        <f t="shared" si="0"/>
        <v>0</v>
      </c>
    </row>
    <row r="29" spans="3:5" x14ac:dyDescent="0.25">
      <c r="C29" t="s">
        <v>3</v>
      </c>
      <c r="D29">
        <f t="shared" si="0"/>
        <v>0</v>
      </c>
    </row>
    <row r="30" spans="3:5" x14ac:dyDescent="0.25">
      <c r="C30" t="s">
        <v>17</v>
      </c>
      <c r="D30">
        <f t="shared" si="0"/>
        <v>0</v>
      </c>
    </row>
    <row r="31" spans="3:5" x14ac:dyDescent="0.25">
      <c r="C31" t="s">
        <v>18</v>
      </c>
      <c r="D31">
        <f t="shared" si="0"/>
        <v>0</v>
      </c>
    </row>
    <row r="32" spans="3:5" x14ac:dyDescent="0.25">
      <c r="C32" t="s">
        <v>5</v>
      </c>
      <c r="D32">
        <f t="shared" si="0"/>
        <v>0</v>
      </c>
    </row>
    <row r="34" spans="3:4" x14ac:dyDescent="0.25">
      <c r="C34" s="11" t="s">
        <v>12</v>
      </c>
      <c r="D34" s="11">
        <f>SUM(Table663[Temps total])</f>
        <v>0</v>
      </c>
    </row>
    <row r="35" spans="3:4" x14ac:dyDescent="0.25">
      <c r="C35" s="11"/>
      <c r="D35" s="11"/>
    </row>
  </sheetData>
  <mergeCells count="1">
    <mergeCell ref="C2:E2"/>
  </mergeCells>
  <dataValidations count="1">
    <dataValidation type="list" allowBlank="1" showInputMessage="1" showErrorMessage="1" sqref="C5:C20">
      <formula1>$C$24:$C$32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workbookViewId="0">
      <selection activeCell="D18" sqref="D18"/>
    </sheetView>
  </sheetViews>
  <sheetFormatPr baseColWidth="10" defaultColWidth="9.140625" defaultRowHeight="15" x14ac:dyDescent="0.25"/>
  <cols>
    <col min="3" max="3" width="18.7109375" bestFit="1" customWidth="1"/>
    <col min="4" max="4" width="47.140625" customWidth="1"/>
    <col min="5" max="5" width="21.42578125" bestFit="1" customWidth="1"/>
  </cols>
  <sheetData>
    <row r="1" spans="1:5" x14ac:dyDescent="0.25">
      <c r="A1" s="1"/>
    </row>
    <row r="2" spans="1:5" x14ac:dyDescent="0.25">
      <c r="C2" s="14" t="s">
        <v>9</v>
      </c>
      <c r="D2" s="15"/>
      <c r="E2" s="16"/>
    </row>
    <row r="3" spans="1:5" x14ac:dyDescent="0.25">
      <c r="C3" s="2"/>
      <c r="D3" s="2"/>
      <c r="E3" s="2"/>
    </row>
    <row r="4" spans="1:5" x14ac:dyDescent="0.25">
      <c r="C4" s="3" t="s">
        <v>0</v>
      </c>
      <c r="D4" s="4" t="s">
        <v>1</v>
      </c>
      <c r="E4" s="5" t="s">
        <v>2</v>
      </c>
    </row>
    <row r="5" spans="1:5" x14ac:dyDescent="0.25">
      <c r="C5" s="6"/>
      <c r="D5" s="8"/>
      <c r="E5" s="7"/>
    </row>
    <row r="6" spans="1:5" x14ac:dyDescent="0.25">
      <c r="C6" s="6"/>
      <c r="D6" s="8"/>
      <c r="E6" s="7"/>
    </row>
    <row r="7" spans="1:5" x14ac:dyDescent="0.25">
      <c r="C7" s="6"/>
      <c r="D7" s="8"/>
      <c r="E7" s="7"/>
    </row>
    <row r="8" spans="1:5" x14ac:dyDescent="0.25">
      <c r="C8" s="6"/>
      <c r="D8" s="8"/>
      <c r="E8" s="7"/>
    </row>
    <row r="9" spans="1:5" x14ac:dyDescent="0.25">
      <c r="C9" s="6"/>
      <c r="D9" s="8"/>
      <c r="E9" s="7"/>
    </row>
    <row r="10" spans="1:5" x14ac:dyDescent="0.25">
      <c r="C10" s="6"/>
      <c r="D10" s="8"/>
      <c r="E10" s="7"/>
    </row>
    <row r="11" spans="1:5" x14ac:dyDescent="0.25">
      <c r="C11" s="6"/>
      <c r="D11" s="8"/>
      <c r="E11" s="7"/>
    </row>
    <row r="12" spans="1:5" x14ac:dyDescent="0.25">
      <c r="C12" s="6"/>
      <c r="D12" s="8"/>
      <c r="E12" s="7"/>
    </row>
    <row r="13" spans="1:5" x14ac:dyDescent="0.25">
      <c r="C13" s="6"/>
      <c r="D13" s="8"/>
      <c r="E13" s="7"/>
    </row>
    <row r="14" spans="1:5" x14ac:dyDescent="0.25">
      <c r="C14" s="6"/>
      <c r="D14" s="8"/>
      <c r="E14" s="7"/>
    </row>
    <row r="15" spans="1:5" x14ac:dyDescent="0.25">
      <c r="C15" s="6"/>
      <c r="D15" s="8"/>
      <c r="E15" s="7"/>
    </row>
    <row r="16" spans="1:5" x14ac:dyDescent="0.25">
      <c r="C16" s="6"/>
      <c r="D16" s="8"/>
      <c r="E16" s="7"/>
    </row>
    <row r="17" spans="3:5" x14ac:dyDescent="0.25">
      <c r="C17" s="6"/>
      <c r="D17" s="8"/>
      <c r="E17" s="7"/>
    </row>
    <row r="18" spans="3:5" x14ac:dyDescent="0.25">
      <c r="C18" s="6"/>
      <c r="D18" s="8"/>
      <c r="E18" s="7"/>
    </row>
    <row r="19" spans="3:5" x14ac:dyDescent="0.25">
      <c r="C19" s="6"/>
      <c r="D19" s="8"/>
      <c r="E19" s="7"/>
    </row>
    <row r="20" spans="3:5" x14ac:dyDescent="0.25">
      <c r="C20" s="6"/>
      <c r="D20" s="10"/>
      <c r="E20" s="9"/>
    </row>
    <row r="23" spans="3:5" x14ac:dyDescent="0.25">
      <c r="C23" t="s">
        <v>6</v>
      </c>
      <c r="D23" t="s">
        <v>7</v>
      </c>
    </row>
    <row r="24" spans="3:5" x14ac:dyDescent="0.25">
      <c r="C24" t="s">
        <v>13</v>
      </c>
      <c r="D24">
        <f t="shared" ref="D24:D32" si="0">SUMIF(C$5:C$20,C24,E$5:E$20)</f>
        <v>0</v>
      </c>
    </row>
    <row r="25" spans="3:5" x14ac:dyDescent="0.25">
      <c r="C25" t="s">
        <v>14</v>
      </c>
      <c r="D25">
        <f t="shared" si="0"/>
        <v>0</v>
      </c>
    </row>
    <row r="26" spans="3:5" x14ac:dyDescent="0.25">
      <c r="C26" t="s">
        <v>15</v>
      </c>
      <c r="D26">
        <f t="shared" si="0"/>
        <v>0</v>
      </c>
    </row>
    <row r="27" spans="3:5" x14ac:dyDescent="0.25">
      <c r="C27" t="s">
        <v>4</v>
      </c>
      <c r="D27">
        <f t="shared" si="0"/>
        <v>0</v>
      </c>
    </row>
    <row r="28" spans="3:5" x14ac:dyDescent="0.25">
      <c r="C28" t="s">
        <v>16</v>
      </c>
      <c r="D28">
        <f t="shared" si="0"/>
        <v>0</v>
      </c>
    </row>
    <row r="29" spans="3:5" x14ac:dyDescent="0.25">
      <c r="C29" t="s">
        <v>3</v>
      </c>
      <c r="D29">
        <f t="shared" si="0"/>
        <v>0</v>
      </c>
    </row>
    <row r="30" spans="3:5" x14ac:dyDescent="0.25">
      <c r="C30" t="s">
        <v>17</v>
      </c>
      <c r="D30">
        <f t="shared" si="0"/>
        <v>0</v>
      </c>
    </row>
    <row r="31" spans="3:5" x14ac:dyDescent="0.25">
      <c r="C31" t="s">
        <v>18</v>
      </c>
      <c r="D31">
        <f t="shared" si="0"/>
        <v>0</v>
      </c>
    </row>
    <row r="32" spans="3:5" x14ac:dyDescent="0.25">
      <c r="C32" t="s">
        <v>5</v>
      </c>
      <c r="D32">
        <f t="shared" si="0"/>
        <v>0</v>
      </c>
    </row>
    <row r="34" spans="3:4" x14ac:dyDescent="0.25">
      <c r="C34" s="11" t="s">
        <v>12</v>
      </c>
      <c r="D34" s="11">
        <f>SUM(Table667[Temps total])</f>
        <v>0</v>
      </c>
    </row>
    <row r="35" spans="3:4" x14ac:dyDescent="0.25">
      <c r="C35" s="11"/>
      <c r="D35" s="11"/>
    </row>
  </sheetData>
  <mergeCells count="1">
    <mergeCell ref="C2:E2"/>
  </mergeCells>
  <dataValidations count="1">
    <dataValidation type="list" allowBlank="1" showInputMessage="1" showErrorMessage="1" sqref="C5:C20">
      <formula1>$C$24:$C$32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workbookViewId="0">
      <selection activeCell="C12" sqref="C12"/>
    </sheetView>
  </sheetViews>
  <sheetFormatPr baseColWidth="10" defaultColWidth="9.140625" defaultRowHeight="15" x14ac:dyDescent="0.25"/>
  <cols>
    <col min="3" max="3" width="18.7109375" bestFit="1" customWidth="1"/>
    <col min="4" max="4" width="47.140625" customWidth="1"/>
    <col min="5" max="5" width="21.42578125" bestFit="1" customWidth="1"/>
  </cols>
  <sheetData>
    <row r="1" spans="1:5" x14ac:dyDescent="0.25">
      <c r="A1" s="1"/>
    </row>
    <row r="2" spans="1:5" x14ac:dyDescent="0.25">
      <c r="C2" s="14" t="s">
        <v>10</v>
      </c>
      <c r="D2" s="15"/>
      <c r="E2" s="16"/>
    </row>
    <row r="3" spans="1:5" x14ac:dyDescent="0.25">
      <c r="C3" s="2"/>
      <c r="D3" s="2"/>
      <c r="E3" s="2"/>
    </row>
    <row r="4" spans="1:5" x14ac:dyDescent="0.25">
      <c r="C4" s="3" t="s">
        <v>0</v>
      </c>
      <c r="D4" s="4" t="s">
        <v>1</v>
      </c>
      <c r="E4" s="5" t="s">
        <v>2</v>
      </c>
    </row>
    <row r="5" spans="1:5" x14ac:dyDescent="0.25">
      <c r="C5" s="6"/>
      <c r="D5" s="8"/>
      <c r="E5" s="7"/>
    </row>
    <row r="6" spans="1:5" x14ac:dyDescent="0.25">
      <c r="C6" s="6"/>
      <c r="D6" s="8"/>
      <c r="E6" s="7"/>
    </row>
    <row r="7" spans="1:5" x14ac:dyDescent="0.25">
      <c r="C7" s="6"/>
      <c r="D7" s="8"/>
      <c r="E7" s="7"/>
    </row>
    <row r="8" spans="1:5" x14ac:dyDescent="0.25">
      <c r="C8" s="6"/>
      <c r="D8" s="8"/>
      <c r="E8" s="7"/>
    </row>
    <row r="9" spans="1:5" x14ac:dyDescent="0.25">
      <c r="C9" s="6"/>
      <c r="D9" s="8"/>
      <c r="E9" s="7"/>
    </row>
    <row r="10" spans="1:5" x14ac:dyDescent="0.25">
      <c r="C10" s="6"/>
      <c r="D10" s="8"/>
      <c r="E10" s="7"/>
    </row>
    <row r="11" spans="1:5" x14ac:dyDescent="0.25">
      <c r="C11" s="6"/>
      <c r="D11" s="8"/>
      <c r="E11" s="7"/>
    </row>
    <row r="12" spans="1:5" x14ac:dyDescent="0.25">
      <c r="C12" s="6"/>
      <c r="D12" s="8"/>
      <c r="E12" s="7"/>
    </row>
    <row r="13" spans="1:5" x14ac:dyDescent="0.25">
      <c r="C13" s="6"/>
      <c r="D13" s="8"/>
      <c r="E13" s="7"/>
    </row>
    <row r="14" spans="1:5" x14ac:dyDescent="0.25">
      <c r="C14" s="6"/>
      <c r="D14" s="8"/>
      <c r="E14" s="7"/>
    </row>
    <row r="15" spans="1:5" x14ac:dyDescent="0.25">
      <c r="C15" s="6"/>
      <c r="D15" s="8"/>
      <c r="E15" s="7"/>
    </row>
    <row r="16" spans="1:5" x14ac:dyDescent="0.25">
      <c r="C16" s="6"/>
      <c r="D16" s="8"/>
      <c r="E16" s="7"/>
    </row>
    <row r="17" spans="3:5" x14ac:dyDescent="0.25">
      <c r="C17" s="6"/>
      <c r="D17" s="8"/>
      <c r="E17" s="7"/>
    </row>
    <row r="18" spans="3:5" x14ac:dyDescent="0.25">
      <c r="C18" s="6"/>
      <c r="D18" s="8"/>
      <c r="E18" s="7"/>
    </row>
    <row r="19" spans="3:5" x14ac:dyDescent="0.25">
      <c r="C19" s="6"/>
      <c r="D19" s="8"/>
      <c r="E19" s="7"/>
    </row>
    <row r="20" spans="3:5" x14ac:dyDescent="0.25">
      <c r="C20" s="6"/>
      <c r="D20" s="10"/>
      <c r="E20" s="9"/>
    </row>
    <row r="23" spans="3:5" x14ac:dyDescent="0.25">
      <c r="C23" t="s">
        <v>6</v>
      </c>
      <c r="D23" t="s">
        <v>7</v>
      </c>
    </row>
    <row r="24" spans="3:5" x14ac:dyDescent="0.25">
      <c r="C24" t="s">
        <v>13</v>
      </c>
      <c r="D24">
        <f t="shared" ref="D24:D32" si="0">SUMIF(C$5:C$20,C24,E$5:E$20)</f>
        <v>0</v>
      </c>
    </row>
    <row r="25" spans="3:5" x14ac:dyDescent="0.25">
      <c r="C25" t="s">
        <v>14</v>
      </c>
      <c r="D25">
        <f t="shared" si="0"/>
        <v>0</v>
      </c>
    </row>
    <row r="26" spans="3:5" x14ac:dyDescent="0.25">
      <c r="C26" t="s">
        <v>15</v>
      </c>
      <c r="D26">
        <f t="shared" si="0"/>
        <v>0</v>
      </c>
    </row>
    <row r="27" spans="3:5" x14ac:dyDescent="0.25">
      <c r="C27" t="s">
        <v>4</v>
      </c>
      <c r="D27">
        <f t="shared" si="0"/>
        <v>0</v>
      </c>
    </row>
    <row r="28" spans="3:5" x14ac:dyDescent="0.25">
      <c r="C28" t="s">
        <v>16</v>
      </c>
      <c r="D28">
        <f t="shared" si="0"/>
        <v>0</v>
      </c>
    </row>
    <row r="29" spans="3:5" x14ac:dyDescent="0.25">
      <c r="C29" t="s">
        <v>3</v>
      </c>
      <c r="D29">
        <f t="shared" si="0"/>
        <v>0</v>
      </c>
    </row>
    <row r="30" spans="3:5" x14ac:dyDescent="0.25">
      <c r="C30" t="s">
        <v>17</v>
      </c>
      <c r="D30">
        <f t="shared" si="0"/>
        <v>0</v>
      </c>
    </row>
    <row r="31" spans="3:5" x14ac:dyDescent="0.25">
      <c r="C31" t="s">
        <v>18</v>
      </c>
      <c r="D31">
        <f t="shared" si="0"/>
        <v>0</v>
      </c>
    </row>
    <row r="32" spans="3:5" x14ac:dyDescent="0.25">
      <c r="C32" t="s">
        <v>5</v>
      </c>
      <c r="D32">
        <f t="shared" si="0"/>
        <v>0</v>
      </c>
    </row>
    <row r="34" spans="3:4" x14ac:dyDescent="0.25">
      <c r="C34" s="11" t="s">
        <v>12</v>
      </c>
      <c r="D34" s="11">
        <f>SUM(Table6679[Temps total])</f>
        <v>0</v>
      </c>
    </row>
    <row r="35" spans="3:4" x14ac:dyDescent="0.25">
      <c r="C35" s="11"/>
      <c r="D35" s="11"/>
    </row>
  </sheetData>
  <mergeCells count="1">
    <mergeCell ref="C2:E2"/>
  </mergeCells>
  <dataValidations count="1">
    <dataValidation type="list" allowBlank="1" showInputMessage="1" showErrorMessage="1" sqref="C5:C20">
      <formula1>$C$24:$C$32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Résumé</vt:lpstr>
      <vt:lpstr>Mardi</vt:lpstr>
      <vt:lpstr>Mercredi</vt:lpstr>
      <vt:lpstr>Jeudi</vt:lpstr>
      <vt:lpstr>Vendredi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Jost, Anthony</dc:creator>
  <cp:lastModifiedBy>JOST Anthony</cp:lastModifiedBy>
  <dcterms:created xsi:type="dcterms:W3CDTF">2018-09-20T09:42:59Z</dcterms:created>
  <dcterms:modified xsi:type="dcterms:W3CDTF">2019-05-07T12:59:38Z</dcterms:modified>
</cp:coreProperties>
</file>